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1-2 pulgada" sheetId="2" state="visible" r:id="rId4"/>
    <sheet name="3-4 pulgada" sheetId="3" state="visible" r:id="rId5"/>
    <sheet name="1 pulgad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<sst xmlns="http://schemas.openxmlformats.org/spreadsheetml/2006/main" count="149" uniqueCount="70">
  <si>
    <t xml:space="preserve">Mangueras de jardín PVC — Mercado Libre Chile (18-sep-2026)</t>
  </si>
  <si>
    <t xml:space="preserve">Criterio: 3 primeras publicaciones orgánicas (sin «Ad») en «Más relevantes» por medida; en 1" se omitió la manguera plana Layflat de Dicas por estar clasificada como riego industrial.</t>
  </si>
  <si>
    <t xml:space="preserve">1. Especificaciones comunes: todas son de PVC y casi todas en rollo de 50 m (25 m solo la aisladif de 1"), con malla/refuerzo indicado en título o modelo. Las presiones varían mucho y casi nunca aparecen diámetro exterior, espesor, capas ni presión de ruptura. La presión de 2.500 psi de Hardpro 3/4" parece error de la ficha.</t>
  </si>
  <si>
    <t xml:space="preserve">2. Precio por metro: 1/2" $308–$540; 3/4" $628–$681; 1" $1.084–$1.320 (ver hojas por medida).</t>
  </si>
  <si>
    <t xml:space="preserve">3. Marcas que se repiten: Hardpro (tienda oficial Aspor) en 1/2" y 3/4"; YTS en 1/2" y 3/4"; Dicas dos veces en 1". Vendedores no oficiales repetidos: Express Todo en Uno y el que publica como «Comercialcomercial…».</t>
  </si>
  <si>
    <t xml:space="preserve">Marca</t>
  </si>
  <si>
    <t xml:space="preserve">Diámetro interior</t>
  </si>
  <si>
    <t xml:space="preserve">Diámetro exterior o espesor</t>
  </si>
  <si>
    <t xml:space="preserve">Capas / malla de refuerzo</t>
  </si>
  <si>
    <t xml:space="preserve">Presión de trabajo</t>
  </si>
  <si>
    <t xml:space="preserve">Presión de ruptura</t>
  </si>
  <si>
    <t xml:space="preserve">Material</t>
  </si>
  <si>
    <t xml:space="preserve">Largo (m)</t>
  </si>
  <si>
    <t xml:space="preserve">Peso (kg)</t>
  </si>
  <si>
    <t xml:space="preserve">Precio (CLP)</t>
  </si>
  <si>
    <t xml:space="preserve">Precio por metro (CLP)</t>
  </si>
  <si>
    <t xml:space="preserve">Vendidos</t>
  </si>
  <si>
    <t xml:space="preserve">¿Vendedor oficial?</t>
  </si>
  <si>
    <t xml:space="preserve">Publicación</t>
  </si>
  <si>
    <t xml:space="preserve">EOLAND</t>
  </si>
  <si>
    <t xml:space="preserve">1/2"</t>
  </si>
  <si>
    <t xml:space="preserve">sin dato</t>
  </si>
  <si>
    <t xml:space="preserve">sin dato (título: 3 capas, antitorsión)</t>
  </si>
  <si>
    <t xml:space="preserve">200 psi</t>
  </si>
  <si>
    <t xml:space="preserve">PVC</t>
  </si>
  <si>
    <t xml:space="preserve">+1000</t>
  </si>
  <si>
    <t xml:space="preserve">No (Express Todo en Uno, MercadoLíder). Hay otra oferta de la Tienda oficial EOLAND en «otras opciones»</t>
  </si>
  <si>
    <t xml:space="preserve">https://www.mercadolibre.cl/manguera-jardin-12-50m-3-capas-pvc-antitorsion-acoples-eoland/p/MLC55223377</t>
  </si>
  <si>
    <t xml:space="preserve">Hardpro</t>
  </si>
  <si>
    <t xml:space="preserve">sin dato (título: 1,2 mm)</t>
  </si>
  <si>
    <t xml:space="preserve">sin dato (título: reforzada)</t>
  </si>
  <si>
    <t xml:space="preserve">115 psi</t>
  </si>
  <si>
    <t xml:space="preserve">PVC (título: protección UV)</t>
  </si>
  <si>
    <t xml:space="preserve">Sí (Tienda oficial Aspor)</t>
  </si>
  <si>
    <t xml:space="preserve">https://www.mercadolibre.cl/manguera-riego-jardin-50m-12-12mm-reforzada-con-proteccion-contra-rayos-uv-marca-hardpro-materiales-de-alta-calidad/p/MLC40002855</t>
  </si>
  <si>
    <t xml:space="preserve">YTS</t>
  </si>
  <si>
    <t xml:space="preserve">sin dato (solo en el título: 1/2")</t>
  </si>
  <si>
    <t xml:space="preserve">sin dato (modelo «Flexible reforzada»)</t>
  </si>
  <si>
    <t xml:space="preserve">No (Comercialproind, MercadoLíder)</t>
  </si>
  <si>
    <t xml:space="preserve">https://www.mercadolibre.cl/manguera-jardin-flexible-12-pulgada-50-mts-reforzada-color-verdeamarillo/p/MLC47407342</t>
  </si>
  <si>
    <t xml:space="preserve">Rango precio por metro (mín – máx):</t>
  </si>
  <si>
    <t xml:space="preserve">Notas: precios y datos leídos de la tabla «Características» y de la ficha (mercadolibre.cl, 18-sep-2026). Texto en azul = dato copiado de la publicación; precio por metro = precio / largo (fórmula). «sin dato» = no aparece en la tabla; el texto entre paréntesis «título:» viene del título de la publicación, no de la tabla. «Diámetro» de la tabla es nominal (no distingue interior/exterior). «Presión de trabajo» = fila «Presión máxima soportada».</t>
  </si>
  <si>
    <t xml:space="preserve">3/4"</t>
  </si>
  <si>
    <t xml:space="preserve">sin dato (título: 2,0 mm)</t>
  </si>
  <si>
    <t xml:space="preserve">2.500 psi (dato dudoso)</t>
  </si>
  <si>
    <t xml:space="preserve">+500</t>
  </si>
  <si>
    <t xml:space="preserve">https://www.mercadolibre.cl/manguera-riego-jardin-50m-34-20mm-reforzada-proteccion-uv/p/MLC40002849</t>
  </si>
  <si>
    <t xml:space="preserve">sin dato (solo en el título: 3/4")</t>
  </si>
  <si>
    <t xml:space="preserve">No (MercadoLíder)</t>
  </si>
  <si>
    <t xml:space="preserve">https://www.mercadolibre.cl/manguera-jardin-flexible-34-pulgada-50-mts-reforzada-color-verde/p/MLC45626250</t>
  </si>
  <si>
    <t xml:space="preserve">Mallaflex</t>
  </si>
  <si>
    <t xml:space="preserve">145,04 psi</t>
  </si>
  <si>
    <t xml:space="preserve">https://www.mercadolibre.cl/manguera-jardinera-mallaflex-34-50-metros-verde-reforzada/p/MLC29720915</t>
  </si>
  <si>
    <t xml:space="preserve">Dicas (rollo 50 m, envío gratis)</t>
  </si>
  <si>
    <t xml:space="preserve">sin dato (solo en el título: 1")</t>
  </si>
  <si>
    <t xml:space="preserve">Modelo «Reforzado con malla»</t>
  </si>
  <si>
    <t xml:space="preserve">261,07 psi</t>
  </si>
  <si>
    <t xml:space="preserve">Sí (Tienda oficial Dicas)</t>
  </si>
  <si>
    <t xml:space="preserve">https://www.mercadolibre.cl/manguera-reforzada-1-pulgada-rollo-50-metros-envio-gratis/up/MLCU63760813</t>
  </si>
  <si>
    <t xml:space="preserve">Dicas (verde oscuro)</t>
  </si>
  <si>
    <t xml:space="preserve">101,53 psi</t>
  </si>
  <si>
    <t xml:space="preserve">+100</t>
  </si>
  <si>
    <t xml:space="preserve">No (Express Todo en Uno, MercadoLíder)</t>
  </si>
  <si>
    <t xml:space="preserve">https://www.mercadolibre.cl/manguera-reforzada-1-pulgada-rollo-50-metros-color-verde-oscuro/p/MLC48161760</t>
  </si>
  <si>
    <t xml:space="preserve">aisladif</t>
  </si>
  <si>
    <t xml:space="preserve">1"</t>
  </si>
  <si>
    <t xml:space="preserve">Modelo «Malla»</t>
  </si>
  <si>
    <t xml:space="preserve">+50</t>
  </si>
  <si>
    <t xml:space="preserve">No (Rampo, MercadoLíder)</t>
  </si>
  <si>
    <t xml:space="preserve">https://www.mercadolibre.cl/manguera-jardin-1-pulgada-rollo-25-metros-con-acoples/up/MLCU3830611338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</si>
</sst>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ercadolibre.cl/manguera-jardin-12-50m-3-capas-pvc-antitorsion-acoples-eoland/p/MLC55223377" TargetMode="External"/><Relationship Id="rId2" Type="http://schemas.openxmlformats.org/officeDocument/2006/relationships/hyperlink" Target="https://www.mercadolibre.cl/manguera-riego-jardin-50m-12-12mm-reforzada-con-proteccion-contra-rayos-uv-marca-hardpro-materiales-de-alta-calidad/p/MLC40002855" TargetMode="External"/><Relationship Id="rId3" Type="http://schemas.openxmlformats.org/officeDocument/2006/relationships/hyperlink" Target="https://www.mercadolibre.cl/manguera-jardin-flexible-12-pulgada-50-mts-reforzada-color-verdeamarillo/p/MLC47407342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ercadolibre.cl/manguera-riego-jardin-50m-34-20mm-reforzada-proteccion-uv/p/MLC40002849" TargetMode="External"/><Relationship Id="rId2" Type="http://schemas.openxmlformats.org/officeDocument/2006/relationships/hyperlink" Target="https://www.mercadolibre.cl/manguera-jardin-flexible-34-pulgada-50-mts-reforzada-color-verde/p/MLC45626250" TargetMode="External"/><Relationship Id="rId3" Type="http://schemas.openxmlformats.org/officeDocument/2006/relationships/hyperlink" Target="https://www.mercadolibre.cl/manguera-jardinera-mallaflex-34-50-metros-verde-reforzada/p/MLC29720915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ercadolibre.cl/manguera-reforzada-1-pulgada-rollo-50-metros-envio-gratis/up/MLCU63760813" TargetMode="External"/><Relationship Id="rId2" Type="http://schemas.openxmlformats.org/officeDocument/2006/relationships/hyperlink" Target="https://www.mercadolibre.cl/manguera-reforzada-1-pulgada-rollo-50-metros-color-verde-oscuro/p/MLC48161760" TargetMode="External"/><Relationship Id="rId3" Type="http://schemas.openxmlformats.org/officeDocument/2006/relationships/hyperlink" Target="https://www.mercadolibre.cl/manguera-jardin-1-pulgada-rollo-25-metros-con-acoples/up/MLCU383061133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57.75" hidden="false" customHeight="true" outlineLevel="0" collapsed="false">
      <c r="A4" s="2" t="s">
        <v>2</v>
      </c>
    </row>
    <row r="5" customFormat="false" ht="19.5" hidden="false" customHeight="true" outlineLevel="0" collapsed="false">
      <c r="A5" s="2" t="s">
        <v>3</v>
      </c>
    </row>
    <row r="6" customFormat="false" ht="43.5" hidden="false" customHeight="true" outlineLevel="0" collapsed="false">
      <c r="A6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  <row r="2" customFormat="false" ht="35.05" hidden="false" customHeight="false" outlineLevel="0" collapsed="false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21</v>
      </c>
      <c r="G2" s="4" t="s">
        <v>24</v>
      </c>
      <c r="H2" s="5" t="n">
        <v>50</v>
      </c>
      <c r="I2" s="4" t="n">
        <v>4.5</v>
      </c>
      <c r="J2" s="6" t="n">
        <v>26990</v>
      </c>
      <c r="K2" s="7" t="n">
        <f aca="false">J2/H2</f>
        <v>539.8</v>
      </c>
      <c r="L2" s="4" t="s">
        <v>25</v>
      </c>
      <c r="M2" s="4" t="s">
        <v>26</v>
      </c>
      <c r="N2" s="8" t="s">
        <v>27</v>
      </c>
    </row>
    <row r="3" customFormat="false" ht="15" hidden="false" customHeight="false" outlineLevel="0" collapsed="false">
      <c r="A3" s="4" t="s">
        <v>28</v>
      </c>
      <c r="B3" s="4" t="s">
        <v>20</v>
      </c>
      <c r="C3" s="4" t="s">
        <v>29</v>
      </c>
      <c r="D3" s="4" t="s">
        <v>30</v>
      </c>
      <c r="E3" s="4" t="s">
        <v>31</v>
      </c>
      <c r="F3" s="4" t="s">
        <v>21</v>
      </c>
      <c r="G3" s="4" t="s">
        <v>32</v>
      </c>
      <c r="H3" s="5" t="n">
        <v>50</v>
      </c>
      <c r="I3" s="4" t="n">
        <v>4.2</v>
      </c>
      <c r="J3" s="6" t="n">
        <v>15390</v>
      </c>
      <c r="K3" s="7" t="n">
        <f aca="false">J3/H3</f>
        <v>307.8</v>
      </c>
      <c r="L3" s="4" t="s">
        <v>25</v>
      </c>
      <c r="M3" s="4" t="s">
        <v>33</v>
      </c>
      <c r="N3" s="8" t="s">
        <v>34</v>
      </c>
    </row>
    <row r="4" customFormat="false" ht="23.85" hidden="false" customHeight="false" outlineLevel="0" collapsed="false">
      <c r="A4" s="4" t="s">
        <v>35</v>
      </c>
      <c r="B4" s="4" t="s">
        <v>36</v>
      </c>
      <c r="C4" s="4" t="s">
        <v>21</v>
      </c>
      <c r="D4" s="4" t="s">
        <v>37</v>
      </c>
      <c r="E4" s="4" t="s">
        <v>21</v>
      </c>
      <c r="F4" s="4" t="s">
        <v>21</v>
      </c>
      <c r="G4" s="4" t="s">
        <v>24</v>
      </c>
      <c r="H4" s="5" t="n">
        <v>50</v>
      </c>
      <c r="I4" s="4" t="s">
        <v>21</v>
      </c>
      <c r="J4" s="6" t="n">
        <v>16500</v>
      </c>
      <c r="K4" s="7" t="n">
        <f aca="false">J4/H4</f>
        <v>330</v>
      </c>
      <c r="L4" s="4" t="s">
        <v>25</v>
      </c>
      <c r="M4" s="4" t="s">
        <v>38</v>
      </c>
      <c r="N4" s="8" t="s">
        <v>39</v>
      </c>
    </row>
    <row r="6" customFormat="false" ht="15" hidden="false" customHeight="false" outlineLevel="0" collapsed="false">
      <c r="A6" s="9" t="s">
        <v>40</v>
      </c>
      <c r="J6" s="10" t="n">
        <f aca="false">MIN(K2:K4)</f>
        <v>307.8</v>
      </c>
      <c r="K6" s="10" t="n">
        <f aca="false">MAX(K2:K4)</f>
        <v>539.8</v>
      </c>
    </row>
    <row r="8" customFormat="false" ht="61.5" hidden="false" customHeight="true" outlineLevel="0" collapsed="false">
      <c r="A8" s="11" t="s">
        <v>41</v>
      </c>
      <c r="B8" s="11"/>
      <c r="C8" s="11"/>
      <c r="D8" s="11"/>
      <c r="E8" s="11"/>
      <c r="F8" s="11"/>
      <c r="G8" s="11"/>
      <c r="H8" s="11"/>
      <c r="I8" s="11"/>
    </row>
  </sheetData>
  <mergeCells count="1">
    <mergeCell ref="A8:I8"/>
  </mergeCells>
  <hyperlinks>
    <hyperlink ref="N2" r:id="rId1" display="https://www.mercadolibre.cl/manguera-jardin-12-50m-3-capas-pvc-antitorsion-acoples-eoland/p/MLC55223377"/>
    <hyperlink ref="N3" r:id="rId2" display="https://www.mercadolibre.cl/manguera-riego-jardin-50m-12-12mm-reforzada-con-proteccion-contra-rayos-uv-marca-hardpro-materiales-de-alta-calidad/p/MLC40002855"/>
    <hyperlink ref="N4" r:id="rId3" display="https://www.mercadolibre.cl/manguera-jardin-flexible-12-pulgada-50-mts-reforzada-color-verdeamarillo/p/MLC4740734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  <row r="2" customFormat="false" ht="15" hidden="false" customHeight="false" outlineLevel="0" collapsed="false">
      <c r="A2" s="4" t="s">
        <v>28</v>
      </c>
      <c r="B2" s="4" t="s">
        <v>42</v>
      </c>
      <c r="C2" s="4" t="s">
        <v>43</v>
      </c>
      <c r="D2" s="4" t="s">
        <v>30</v>
      </c>
      <c r="E2" s="4" t="s">
        <v>44</v>
      </c>
      <c r="F2" s="4" t="s">
        <v>21</v>
      </c>
      <c r="G2" s="4" t="s">
        <v>32</v>
      </c>
      <c r="H2" s="5" t="n">
        <v>50</v>
      </c>
      <c r="I2" s="4" t="n">
        <v>3</v>
      </c>
      <c r="J2" s="6" t="n">
        <v>31398</v>
      </c>
      <c r="K2" s="7" t="n">
        <f aca="false">J2/H2</f>
        <v>627.96</v>
      </c>
      <c r="L2" s="4" t="s">
        <v>45</v>
      </c>
      <c r="M2" s="4" t="s">
        <v>33</v>
      </c>
      <c r="N2" s="8" t="s">
        <v>46</v>
      </c>
    </row>
    <row r="3" customFormat="false" ht="23.85" hidden="false" customHeight="false" outlineLevel="0" collapsed="false">
      <c r="A3" s="4" t="s">
        <v>35</v>
      </c>
      <c r="B3" s="4" t="s">
        <v>47</v>
      </c>
      <c r="C3" s="4" t="s">
        <v>21</v>
      </c>
      <c r="D3" s="4" t="s">
        <v>37</v>
      </c>
      <c r="E3" s="4" t="s">
        <v>21</v>
      </c>
      <c r="F3" s="4" t="s">
        <v>21</v>
      </c>
      <c r="G3" s="4" t="s">
        <v>24</v>
      </c>
      <c r="H3" s="5" t="n">
        <v>50</v>
      </c>
      <c r="I3" s="4" t="s">
        <v>21</v>
      </c>
      <c r="J3" s="6" t="n">
        <v>32159</v>
      </c>
      <c r="K3" s="7" t="n">
        <f aca="false">J3/H3</f>
        <v>643.18</v>
      </c>
      <c r="L3" s="4" t="s">
        <v>45</v>
      </c>
      <c r="M3" s="4" t="s">
        <v>48</v>
      </c>
      <c r="N3" s="8" t="s">
        <v>49</v>
      </c>
    </row>
    <row r="4" customFormat="false" ht="23.85" hidden="false" customHeight="false" outlineLevel="0" collapsed="false">
      <c r="A4" s="4" t="s">
        <v>50</v>
      </c>
      <c r="B4" s="4" t="s">
        <v>47</v>
      </c>
      <c r="C4" s="4" t="s">
        <v>21</v>
      </c>
      <c r="D4" s="4" t="s">
        <v>30</v>
      </c>
      <c r="E4" s="4" t="s">
        <v>51</v>
      </c>
      <c r="F4" s="4" t="s">
        <v>21</v>
      </c>
      <c r="G4" s="4" t="s">
        <v>24</v>
      </c>
      <c r="H4" s="5" t="n">
        <v>50</v>
      </c>
      <c r="I4" s="4" t="s">
        <v>21</v>
      </c>
      <c r="J4" s="6" t="n">
        <v>34048</v>
      </c>
      <c r="K4" s="7" t="n">
        <f aca="false">J4/H4</f>
        <v>680.96</v>
      </c>
      <c r="L4" s="4" t="s">
        <v>45</v>
      </c>
      <c r="M4" s="4" t="s">
        <v>48</v>
      </c>
      <c r="N4" s="8" t="s">
        <v>52</v>
      </c>
    </row>
    <row r="6" customFormat="false" ht="15" hidden="false" customHeight="false" outlineLevel="0" collapsed="false">
      <c r="A6" s="9" t="s">
        <v>40</v>
      </c>
      <c r="J6" s="10" t="n">
        <f aca="false">MIN(K2:K4)</f>
        <v>627.96</v>
      </c>
      <c r="K6" s="10" t="n">
        <f aca="false">MAX(K2:K4)</f>
        <v>680.96</v>
      </c>
    </row>
    <row r="8" customFormat="false" ht="61.5" hidden="false" customHeight="true" outlineLevel="0" collapsed="false">
      <c r="A8" s="11" t="s">
        <v>41</v>
      </c>
      <c r="B8" s="11"/>
      <c r="C8" s="11"/>
      <c r="D8" s="11"/>
      <c r="E8" s="11"/>
      <c r="F8" s="11"/>
      <c r="G8" s="11"/>
      <c r="H8" s="11"/>
      <c r="I8" s="11"/>
    </row>
  </sheetData>
  <mergeCells count="1">
    <mergeCell ref="A8:I8"/>
  </mergeCells>
  <hyperlinks>
    <hyperlink ref="N2" r:id="rId1" display="https://www.mercadolibre.cl/manguera-riego-jardin-50m-34-20mm-reforzada-proteccion-uv/p/MLC40002849"/>
    <hyperlink ref="N3" r:id="rId2" display="https://www.mercadolibre.cl/manguera-jardin-flexible-34-pulgada-50-mts-reforzada-color-verde/p/MLC45626250"/>
    <hyperlink ref="N4" r:id="rId3" display="https://www.mercadolibre.cl/manguera-jardinera-mallaflex-34-50-metros-verde-reforzada/p/MLC29720915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24"/>
    <col collapsed="false" customWidth="true" hidden="false" outlineLevel="0" max="9" min="8" style="0" width="10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40"/>
    <col collapsed="false" customWidth="true" hidden="false" outlineLevel="0" max="14" min="14" style="0" width="60"/>
  </cols>
  <sheetData>
    <row r="1" customFormat="false" ht="31.5" hidden="false" customHeight="tru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</row>
    <row r="2" customFormat="false" ht="15" hidden="false" customHeight="false" outlineLevel="0" collapsed="false">
      <c r="A2" s="4" t="s">
        <v>53</v>
      </c>
      <c r="B2" s="4" t="s">
        <v>54</v>
      </c>
      <c r="C2" s="4" t="s">
        <v>21</v>
      </c>
      <c r="D2" s="4" t="s">
        <v>55</v>
      </c>
      <c r="E2" s="4" t="s">
        <v>56</v>
      </c>
      <c r="F2" s="4" t="s">
        <v>21</v>
      </c>
      <c r="G2" s="4" t="s">
        <v>24</v>
      </c>
      <c r="H2" s="5" t="n">
        <v>50</v>
      </c>
      <c r="I2" s="4" t="s">
        <v>21</v>
      </c>
      <c r="J2" s="6" t="n">
        <v>59950</v>
      </c>
      <c r="K2" s="7" t="n">
        <f aca="false">J2/H2</f>
        <v>1199</v>
      </c>
      <c r="L2" s="4" t="s">
        <v>45</v>
      </c>
      <c r="M2" s="4" t="s">
        <v>57</v>
      </c>
      <c r="N2" s="8" t="s">
        <v>58</v>
      </c>
    </row>
    <row r="3" customFormat="false" ht="15" hidden="false" customHeight="false" outlineLevel="0" collapsed="false">
      <c r="A3" s="4" t="s">
        <v>59</v>
      </c>
      <c r="B3" s="4" t="s">
        <v>54</v>
      </c>
      <c r="C3" s="4" t="s">
        <v>21</v>
      </c>
      <c r="D3" s="4" t="s">
        <v>55</v>
      </c>
      <c r="E3" s="4" t="s">
        <v>60</v>
      </c>
      <c r="F3" s="4" t="s">
        <v>21</v>
      </c>
      <c r="G3" s="4" t="s">
        <v>24</v>
      </c>
      <c r="H3" s="5" t="n">
        <v>50</v>
      </c>
      <c r="I3" s="4" t="s">
        <v>21</v>
      </c>
      <c r="J3" s="6" t="n">
        <v>54184</v>
      </c>
      <c r="K3" s="7" t="n">
        <f aca="false">J3/H3</f>
        <v>1083.68</v>
      </c>
      <c r="L3" s="4" t="s">
        <v>61</v>
      </c>
      <c r="M3" s="4" t="s">
        <v>62</v>
      </c>
      <c r="N3" s="8" t="s">
        <v>63</v>
      </c>
    </row>
    <row r="4" customFormat="false" ht="15" hidden="false" customHeight="false" outlineLevel="0" collapsed="false">
      <c r="A4" s="4" t="s">
        <v>64</v>
      </c>
      <c r="B4" s="4" t="s">
        <v>65</v>
      </c>
      <c r="C4" s="4" t="s">
        <v>21</v>
      </c>
      <c r="D4" s="4" t="s">
        <v>66</v>
      </c>
      <c r="E4" s="4" t="s">
        <v>21</v>
      </c>
      <c r="F4" s="4" t="s">
        <v>21</v>
      </c>
      <c r="G4" s="4" t="s">
        <v>24</v>
      </c>
      <c r="H4" s="5" t="n">
        <v>25</v>
      </c>
      <c r="I4" s="4" t="s">
        <v>21</v>
      </c>
      <c r="J4" s="6" t="n">
        <v>32990</v>
      </c>
      <c r="K4" s="7" t="n">
        <f aca="false">J4/H4</f>
        <v>1319.6</v>
      </c>
      <c r="L4" s="4" t="s">
        <v>67</v>
      </c>
      <c r="M4" s="4" t="s">
        <v>68</v>
      </c>
      <c r="N4" s="8" t="s">
        <v>69</v>
      </c>
    </row>
    <row r="6" customFormat="false" ht="15" hidden="false" customHeight="false" outlineLevel="0" collapsed="false">
      <c r="A6" s="9" t="s">
        <v>40</v>
      </c>
      <c r="J6" s="10" t="n">
        <f aca="false">MIN(K2:K4)</f>
        <v>1083.68</v>
      </c>
      <c r="K6" s="10" t="n">
        <f aca="false">MAX(K2:K4)</f>
        <v>1319.6</v>
      </c>
    </row>
    <row r="8" customFormat="false" ht="61.5" hidden="false" customHeight="true" outlineLevel="0" collapsed="false">
      <c r="A8" s="11" t="s">
        <v>41</v>
      </c>
      <c r="B8" s="11"/>
      <c r="C8" s="11"/>
      <c r="D8" s="11"/>
      <c r="E8" s="11"/>
      <c r="F8" s="11"/>
      <c r="G8" s="11"/>
      <c r="H8" s="11"/>
      <c r="I8" s="11"/>
    </row>
  </sheetData>
  <mergeCells count="1">
    <mergeCell ref="A8:I8"/>
  </mergeCells>
  <hyperlinks>
    <hyperlink ref="N2" r:id="rId1" display="https://www.mercadolibre.cl/manguera-reforzada-1-pulgada-rollo-50-metros-envio-gratis/up/MLCU63760813"/>
    <hyperlink ref="N3" r:id="rId2" display="https://www.mercadolibre.cl/manguera-reforzada-1-pulgada-rollo-50-metros-color-verde-oscuro/p/MLC48161760"/>
    <hyperlink ref="N4" r:id="rId3" display="https://www.mercadolibre.cl/manguera-jardin-1-pulgada-rollo-25-metros-con-acoples/up/MLCU383061133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2026-09-19T00:56:28Z</dcterms:created>
  <dc:creator>openpyxl</dc:creator>
  <dc:description/>
  <dc:language>en-US</dc:language>
  <cp:lastModifiedBy/>
  <dcterms:modified xsi:type="dcterms:W3CDTF">2026-09-19T00:56:28Z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