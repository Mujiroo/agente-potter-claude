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Comparación" state="visible" r:id="rId5"/>
    <sheet sheetId="3" name="Pedido tipo" state="visible" r:id="rId6"/>
    <sheet sheetId="4" name="Pedir a Xiandai" state="visible" r:id="rId7"/>
    <sheet sheetId="5" name="Costos importación" state="visible" r:id="rId8"/>
  </sheets>
  <calcPr calcId="171027"/>
</workbook>
</file>

<file path=xl/sharedStrings.xml><?xml version="1.0" encoding="utf-8"?>
<sst xmlns="http://schemas.openxmlformats.org/spreadsheetml/2006/main" count="181" uniqueCount="129">
  <si>
    <t>Mangueras PVC · Xiandai (2026) vs Dongying Wanhe (2021)</t>
  </si>
  <si>
    <t>Tamarama SpA · análisis del 16-sep-2026 · precios FOB China en US$</t>
  </si>
  <si>
    <t>Proveedor nuevo</t>
  </si>
  <si>
    <t>Weifang Xiandai Plastics &amp; Rubbers · cotización XDQ260916 del 16-sep-2026</t>
  </si>
  <si>
    <t>Proveedor anterior</t>
  </si>
  <si>
    <t>Dongying Wanhe Rubber &amp; Plastic · último precio: proforma DYWH20210607CH01 del 7-jun-2021</t>
  </si>
  <si>
    <t>Motivo del cambio</t>
  </si>
  <si>
    <t>El proveedor anterior tiene problemas de durabilidad en terreno (reclamo de clientes)</t>
  </si>
  <si>
    <t/>
  </si>
  <si>
    <t>SUCCIÓN (amarilla)</t>
  </si>
  <si>
    <t>Precio por metro parecido: de −14% (3") a +34% (1-1/4"). Xiandai tiene paredes más gruesas y es 9% más barato por kilo (US$ 1,95 vs 2,15/kg).</t>
  </si>
  <si>
    <t>JARDÍN (verde)</t>
  </si>
  <si>
    <t>Xiandai es 51% a 95% más caro por metro (US$ 2,26 vs 1,51/kg). Hay que negociar o buscar otro fabricante.</t>
  </si>
  <si>
    <t>Pedido tipo 2021</t>
  </si>
  <si>
    <t>Mismos metros: Dongying US$ 21.016 vs Xiandai US$ 26.239 (+25%). Volumen: 71 m³ vs 93 m³ (no cabe en un 40HQ).</t>
  </si>
  <si>
    <t>⚠ Falta en la cotización</t>
  </si>
  <si>
    <t>Presión de trabajo y de rotura, vacío, radio de curvatura, temperatura, protección UV, ficha técnica (lo pediste el 14-sep).</t>
  </si>
  <si>
    <t>⚠ Informe SGS</t>
  </si>
  <si>
    <t>Es de otra manguera (reforzada con fibra roja/blanca/negra). Solo RoHS (no mide durabilidad). Dice «solo referencia interna».</t>
  </si>
  <si>
    <t>RECOMENDACIÓN</t>
  </si>
  <si>
    <t>1) Pedir ficha técnica completa y muestras (succión 1" y jardín 3/4") para probar en terreno.</t>
  </si>
  <si>
    <t>2) Pedir material por escrito: PVC virgen, % de carga (carbonato), plastificante (DOTP mejor que DOP), aditivo UV.</t>
  </si>
  <si>
    <t>3) Pedir plan de carga del 40HQ y precio con embalaje (su precio no incluye cajas ni pallets).</t>
  </si>
  <si>
    <t>4) Exigir Certificado de Origen Form F (arancel 0% con TLC Chile-China; sin él, 6%).</t>
  </si>
  <si>
    <t>5) Negociar precio de jardín. Succión: Xiandai es la mejor apuesta, sujeta a muestras.</t>
  </si>
  <si>
    <t>6) No cerrar sin ficha técnica, prueba de muestras y Form F.</t>
  </si>
  <si>
    <t>Comparación por medida</t>
  </si>
  <si>
    <t>Datos de las cotizaciones; columnas en gris se calculan con fórmulas</t>
  </si>
  <si>
    <t>Tipo</t>
  </si>
  <si>
    <t>Medida</t>
  </si>
  <si>
    <t>DW largo rollo (m)</t>
  </si>
  <si>
    <t>DW kg/rollo</t>
  </si>
  <si>
    <t>DW m³/rollo</t>
  </si>
  <si>
    <t>DW US$/rollo</t>
  </si>
  <si>
    <t>DW DI mm</t>
  </si>
  <si>
    <t>DW DE mm</t>
  </si>
  <si>
    <t>DW pared mm</t>
  </si>
  <si>
    <t>DW P. trabajo bar</t>
  </si>
  <si>
    <t>DW P. rotura bar</t>
  </si>
  <si>
    <t>XD largo rollo (m)</t>
  </si>
  <si>
    <t>XD kg/rollo</t>
  </si>
  <si>
    <t>XD m³/rollo</t>
  </si>
  <si>
    <t>XD US$/rollo</t>
  </si>
  <si>
    <t>XD DI mm</t>
  </si>
  <si>
    <t>XD DE mm</t>
  </si>
  <si>
    <t>XD MOQ (m)</t>
  </si>
  <si>
    <t>DW US$/m</t>
  </si>
  <si>
    <t>XD US$/m</t>
  </si>
  <si>
    <t>Dif. US$/m</t>
  </si>
  <si>
    <t>DW kg/m</t>
  </si>
  <si>
    <t>XD kg/m</t>
  </si>
  <si>
    <t>DW US$/kg</t>
  </si>
  <si>
    <t>XD US$/kg</t>
  </si>
  <si>
    <t>XD pared mm</t>
  </si>
  <si>
    <t>Succión</t>
  </si>
  <si>
    <t>1"</t>
  </si>
  <si>
    <t>1-1/4"</t>
  </si>
  <si>
    <t>1-1/2"</t>
  </si>
  <si>
    <t>2"</t>
  </si>
  <si>
    <t>3"</t>
  </si>
  <si>
    <t>4"</t>
  </si>
  <si>
    <t>Jardín</t>
  </si>
  <si>
    <t>1/2"</t>
  </si>
  <si>
    <t>3/4"</t>
  </si>
  <si>
    <t>DW = Dongying Wanhe (7-jun-2021) · XD = Xiandai (16-sep-2026) · Xiandai no informó presiones (pendiente).</t>
  </si>
  <si>
    <t>Mismo pedido de 2021 con los precios de cada proveedor</t>
  </si>
  <si>
    <t>Metros de la proforma de junio-2021 (1 contenedor 40HQ)</t>
  </si>
  <si>
    <t>Metros</t>
  </si>
  <si>
    <t>DW US$</t>
  </si>
  <si>
    <t>XD US$</t>
  </si>
  <si>
    <t>Diferencia US$</t>
  </si>
  <si>
    <t>DW m³</t>
  </si>
  <si>
    <t>XD m³</t>
  </si>
  <si>
    <t>TOTAL</t>
  </si>
  <si>
    <t>Un contenedor 40HQ tiene unos 76 m³ interiores (~68 m³ útiles). Con Xiandai el mismo pedido no cabe: ajustar el mix o pedir su plan de carga.</t>
  </si>
  <si>
    <t>Lo que falta pedirle a Xiandai</t>
  </si>
  <si>
    <t>Pedido por Pedro el 14-sep y no entregado, más lo recomendado</t>
  </si>
  <si>
    <t>#</t>
  </si>
  <si>
    <t>Qué pedir</t>
  </si>
  <si>
    <t>Por qué</t>
  </si>
  <si>
    <t>Estado</t>
  </si>
  <si>
    <t>Presión de trabajo y de rotura (bar/psi) por medida</t>
  </si>
  <si>
    <t>Comparar con Dongying (8/24 bar en succión)</t>
  </si>
  <si>
    <t>Pendiente</t>
  </si>
  <si>
    <t>Vacío máximo y radio mínimo de curvatura (succión)</t>
  </si>
  <si>
    <t>Uso en bombas y riego</t>
  </si>
  <si>
    <t>Rango de temperatura y protección UV</t>
  </si>
  <si>
    <t>Clave para la vida útil al sol (el problema actual)</t>
  </si>
  <si>
    <t>Ficha técnica / data sheet de cada manguera</t>
  </si>
  <si>
    <t>Respaldo por escrito</t>
  </si>
  <si>
    <t>Material: PVC virgen, % de carga, tipo de plastificante (DOTP/DOP), aditivo UV</t>
  </si>
  <si>
    <t>Es lo que define la durabilidad</t>
  </si>
  <si>
    <t>Muestras: succión 1" y jardín 3/4"</t>
  </si>
  <si>
    <t>Probar en terreno antes de comprar</t>
  </si>
  <si>
    <t>Informe de ensayo del producto cotizado (no de otra manguera) y respaldo de REACH</t>
  </si>
  <si>
    <t>El SGS enviado es de otro producto</t>
  </si>
  <si>
    <t>Plan de carga 40HQ y precio con embalaje (cajas/pallet)</t>
  </si>
  <si>
    <t>El precio es solo manguera; hoy el pedido no cabe</t>
  </si>
  <si>
    <t>Certificado de Origen Form F</t>
  </si>
  <si>
    <t>Arancel 0% con TLC Chile-China (sin él, 6%)</t>
  </si>
  <si>
    <t>Condiciones de pago y plazo de entrega; Trade Assurance de Alibaba</t>
  </si>
  <si>
    <t>Protección del pago</t>
  </si>
  <si>
    <t>Mejor precio en jardín (1/2", 3/4", 1")</t>
  </si>
  <si>
    <t>Está 51–95% sobre 2021</t>
  </si>
  <si>
    <t>Qué sumar al precio FOB</t>
  </si>
  <si>
    <t>Referencias generales; confirmar con el agente de aduana</t>
  </si>
  <si>
    <t>Concepto</t>
  </si>
  <si>
    <t>Referencia</t>
  </si>
  <si>
    <t>Fuente</t>
  </si>
  <si>
    <t>Precio FOB China</t>
  </si>
  <si>
    <t>Cotización del proveedor</t>
  </si>
  <si>
    <t>Cotizaciones</t>
  </si>
  <si>
    <t>Flete marítimo y seguro</t>
  </si>
  <si>
    <t>Pedir cotización al forwarder (40HQ Qingdao → San Antonio/Valparaíso)</t>
  </si>
  <si>
    <t>Arancel aduanero</t>
  </si>
  <si>
    <t>0% con TLC Chile-China y Certificado de Origen Form F; 6% sin certificado</t>
  </si>
  <si>
    <t>aduana.cl · hencargochile.com</t>
  </si>
  <si>
    <t>IVA importación</t>
  </si>
  <si>
    <t>19% sobre CIF + arancel</t>
  </si>
  <si>
    <t>Norma general Chile</t>
  </si>
  <si>
    <t>Agente de aduana y gastos de puerto</t>
  </si>
  <si>
    <t>Según cotización del agente</t>
  </si>
  <si>
    <t>Transporte a Curicó</t>
  </si>
  <si>
    <t>Según cotización</t>
  </si>
  <si>
    <t>Fuentes:</t>
  </si>
  <si>
    <t>https://www.aduana.cl/tratado-de-libre-comercio-chile-china/aduana/2007-02-28/100917.html</t>
  </si>
  <si>
    <t>https://hencargochile.com/tratados-de-libre-comercio-en-chile-como-usar-el-certificado-de-origen-en-tu-despacho-aduanero-para-pagar-0-de-arancel/</t>
  </si>
  <si>
    <t>https://wfpvc.en.alibaba.com/</t>
  </si>
  <si>
    <t>https://wfpvc.goldsupplier.com/about.html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</si>
</sst>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US$ &quot;0.00"/>
    <numFmt numFmtId="165" formatCode="+0%;-0%"/>
    <numFmt numFmtId="166" formatCode="0.000"/>
    <numFmt numFmtId="167" formatCode="&quot;US$ &quot;#,##0"/>
    <numFmt numFmtId="168" formatCode="0.0"/>
  </numFmts>
  <fonts count="8" x14ac:knownFonts="1">
    <font>
      <color theme="1"/>
      <family val="2"/>
      <scheme val="minor"/>
      <sz val="11"/>
      <name val="Calibri"/>
    </font>
    <font>
      <b/>
      <color rgb="FF1F3A5F"/>
      <sz val="16"/>
    </font>
    <font>
      <i/>
      <color rgb="FF666666"/>
    </font>
    <font>
      <b/>
    </font>
    <font>
      <b/>
      <color rgb="FF1F3A5F"/>
    </font>
    <font>
      <b/>
      <color rgb="FFFFFFFF"/>
    </font>
    <font>
      <i/>
    </font>
    <font>
      <u/>
      <color rgb="FF1F5FBF"/>
    </font>
  </fonts>
  <fills count="6">
    <fill>
      <patternFill patternType="none"/>
    </fill>
    <fill>
      <patternFill patternType="gray125"/>
    </fill>
    <fill>
      <patternFill patternType="solid">
        <fgColor rgb="FFFFF4D6"/>
      </patternFill>
    </fill>
    <fill>
      <patternFill patternType="solid">
        <fgColor rgb="FF1F3A5F"/>
      </patternFill>
    </fill>
    <fill>
      <patternFill patternType="solid">
        <fgColor rgb="FFF2F2F2"/>
      </patternFill>
    </fill>
    <fill>
      <patternFill patternType="solid">
        <fgColor rgb="FFE8EEF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3" fillId="2" borderId="0" xfId="0" applyFont="1" applyFill="1"/>
    <xf numFmtId="0" fontId="0" fillId="2" borderId="0" xfId="0" applyFill="1" applyAlignment="1">
      <alignment vertical="top" wrapText="1"/>
    </xf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166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6" fillId="0" borderId="0" xfId="0" applyFont="1"/>
    <xf numFmtId="0" fontId="0" fillId="0" borderId="1" xfId="0" applyBorder="1"/>
    <xf numFmtId="167" fontId="0" fillId="0" borderId="1" xfId="0" applyNumberFormat="1" applyBorder="1"/>
    <xf numFmtId="168" fontId="0" fillId="0" borderId="1" xfId="0" applyNumberFormat="1" applyBorder="1"/>
    <xf numFmtId="0" fontId="3" fillId="5" borderId="1" xfId="0" applyFont="1" applyFill="1" applyBorder="1"/>
    <xf numFmtId="167" fontId="3" fillId="5" borderId="1" xfId="0" applyNumberFormat="1" applyFont="1" applyFill="1" applyBorder="1"/>
    <xf numFmtId="168" fontId="3" fillId="5" borderId="1" xfId="0" applyNumberFormat="1" applyFont="1" applyFill="1" applyBorder="1"/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7" fillId="0" borderId="0" xfId="0" applyFont="1"/>
  </cellXfs>
  <cellStyles count="1">
    <cellStyle name="Normal" xfId="0" builtinId="0"/>
  </cellStyles>
  <dxfs count="2">
    <dxf>
      <fill>
        <patternFill patternType="solid">
          <bgColor rgb="FFFBE3E1"/>
        </patternFill>
      </fill>
    </dxf>
    <dxf>
      <fill>
        <patternFill patternType="solid">
          <bgColor rgb="FFE3F2E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duana.cl/tratado-de-libre-comercio-chile-china/aduana/2007-02-28/100917.html" TargetMode="External"/><Relationship Id="rId2" Type="http://schemas.openxmlformats.org/officeDocument/2006/relationships/hyperlink" Target="https://hencargochile.com/tratados-de-libre-comercio-en-chile-como-usar-el-certificado-de-origen-en-tu-despacho-aduanero-para-pagar-0-de-arancel/" TargetMode="External"/><Relationship Id="rId3" Type="http://schemas.openxmlformats.org/officeDocument/2006/relationships/hyperlink" Target="https://wfpvc.en.alibaba.com/" TargetMode="External"/><Relationship Id="rId4" Type="http://schemas.openxmlformats.org/officeDocument/2006/relationships/hyperlink" Target="https://wfpvc.goldsupplier.com/abou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30" customWidth="1"/>
    <col min="2" max="2" width="95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x14ac:dyDescent="0.25">
      <c r="A4" s="3" t="s">
        <v>2</v>
      </c>
      <c r="B4" s="4" t="s">
        <v>3</v>
      </c>
    </row>
    <row r="5" spans="1:2" x14ac:dyDescent="0.25">
      <c r="A5" s="3" t="s">
        <v>4</v>
      </c>
      <c r="B5" s="4" t="s">
        <v>5</v>
      </c>
    </row>
    <row r="6" spans="1:2" x14ac:dyDescent="0.25">
      <c r="A6" s="3" t="s">
        <v>6</v>
      </c>
      <c r="B6" s="4" t="s">
        <v>7</v>
      </c>
    </row>
    <row r="7" spans="1:2" x14ac:dyDescent="0.25">
      <c r="A7" s="3" t="s">
        <v>8</v>
      </c>
      <c r="B7" s="4" t="s">
        <v>8</v>
      </c>
    </row>
    <row r="8" spans="1:2" x14ac:dyDescent="0.25">
      <c r="A8" s="3" t="s">
        <v>9</v>
      </c>
      <c r="B8" s="4" t="s">
        <v>10</v>
      </c>
    </row>
    <row r="9" spans="1:2" x14ac:dyDescent="0.25">
      <c r="A9" s="3" t="s">
        <v>11</v>
      </c>
      <c r="B9" s="4" t="s">
        <v>12</v>
      </c>
    </row>
    <row r="10" spans="1:2" x14ac:dyDescent="0.25">
      <c r="A10" s="3" t="s">
        <v>13</v>
      </c>
      <c r="B10" s="4" t="s">
        <v>14</v>
      </c>
    </row>
    <row r="11" spans="1:2" x14ac:dyDescent="0.25">
      <c r="A11" s="3" t="s">
        <v>8</v>
      </c>
      <c r="B11" s="4" t="s">
        <v>8</v>
      </c>
    </row>
    <row r="12" spans="1:2" x14ac:dyDescent="0.25">
      <c r="A12" s="5" t="s">
        <v>15</v>
      </c>
      <c r="B12" s="6" t="s">
        <v>16</v>
      </c>
    </row>
    <row r="13" spans="1:2" x14ac:dyDescent="0.25">
      <c r="A13" s="5" t="s">
        <v>17</v>
      </c>
      <c r="B13" s="6" t="s">
        <v>18</v>
      </c>
    </row>
    <row r="14" spans="1:2" x14ac:dyDescent="0.25">
      <c r="A14" s="3" t="s">
        <v>8</v>
      </c>
      <c r="B14" s="4" t="s">
        <v>8</v>
      </c>
    </row>
    <row r="15" spans="1:2" x14ac:dyDescent="0.25">
      <c r="A15" s="7" t="s">
        <v>19</v>
      </c>
      <c r="B15" s="4" t="s">
        <v>20</v>
      </c>
    </row>
    <row r="16" spans="1:2" x14ac:dyDescent="0.25">
      <c r="A16" s="3" t="s">
        <v>8</v>
      </c>
      <c r="B16" s="4" t="s">
        <v>21</v>
      </c>
    </row>
    <row r="17" spans="1:2" x14ac:dyDescent="0.25">
      <c r="A17" s="3" t="s">
        <v>8</v>
      </c>
      <c r="B17" s="4" t="s">
        <v>22</v>
      </c>
    </row>
    <row r="18" spans="1:2" x14ac:dyDescent="0.25">
      <c r="A18" s="3" t="s">
        <v>8</v>
      </c>
      <c r="B18" s="4" t="s">
        <v>23</v>
      </c>
    </row>
    <row r="19" spans="1:2" x14ac:dyDescent="0.25">
      <c r="A19" s="3" t="s">
        <v>8</v>
      </c>
      <c r="B19" s="4" t="s">
        <v>24</v>
      </c>
    </row>
    <row r="20" spans="1:2" x14ac:dyDescent="0.25">
      <c r="A20" s="3" t="s">
        <v>8</v>
      </c>
      <c r="B20" s="4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26" width="11" customWidth="1"/>
  </cols>
  <sheetData>
    <row r="1" spans="1:1" s="1" customFormat="1" x14ac:dyDescent="0.25">
      <c r="A1" s="1" t="s">
        <v>26</v>
      </c>
    </row>
    <row r="2" spans="1:1" s="2" customFormat="1" x14ac:dyDescent="0.25">
      <c r="A2" s="2" t="s">
        <v>27</v>
      </c>
    </row>
    <row r="4" ht="34" customHeight="1" spans="1:26" x14ac:dyDescent="0.25">
      <c r="A4" s="8" t="s">
        <v>28</v>
      </c>
      <c r="B4" s="8" t="s">
        <v>29</v>
      </c>
      <c r="C4" s="8" t="s">
        <v>30</v>
      </c>
      <c r="D4" s="8" t="s">
        <v>31</v>
      </c>
      <c r="E4" s="8" t="s">
        <v>32</v>
      </c>
      <c r="F4" s="8" t="s">
        <v>33</v>
      </c>
      <c r="G4" s="8" t="s">
        <v>34</v>
      </c>
      <c r="H4" s="8" t="s">
        <v>35</v>
      </c>
      <c r="I4" s="8" t="s">
        <v>36</v>
      </c>
      <c r="J4" s="8" t="s">
        <v>37</v>
      </c>
      <c r="K4" s="8" t="s">
        <v>38</v>
      </c>
      <c r="L4" s="8" t="s">
        <v>39</v>
      </c>
      <c r="M4" s="8" t="s">
        <v>40</v>
      </c>
      <c r="N4" s="8" t="s">
        <v>41</v>
      </c>
      <c r="O4" s="8" t="s">
        <v>42</v>
      </c>
      <c r="P4" s="8" t="s">
        <v>43</v>
      </c>
      <c r="Q4" s="8" t="s">
        <v>44</v>
      </c>
      <c r="R4" s="8" t="s">
        <v>45</v>
      </c>
      <c r="S4" s="8" t="s">
        <v>46</v>
      </c>
      <c r="T4" s="8" t="s">
        <v>47</v>
      </c>
      <c r="U4" s="8" t="s">
        <v>48</v>
      </c>
      <c r="V4" s="8" t="s">
        <v>49</v>
      </c>
      <c r="W4" s="8" t="s">
        <v>50</v>
      </c>
      <c r="X4" s="8" t="s">
        <v>51</v>
      </c>
      <c r="Y4" s="8" t="s">
        <v>52</v>
      </c>
      <c r="Z4" s="8" t="s">
        <v>53</v>
      </c>
    </row>
    <row r="5" spans="1:26" x14ac:dyDescent="0.25">
      <c r="A5" s="9" t="s">
        <v>54</v>
      </c>
      <c r="B5" s="9" t="s">
        <v>55</v>
      </c>
      <c r="C5" s="9">
        <v>50</v>
      </c>
      <c r="D5" s="9">
        <v>16.5</v>
      </c>
      <c r="E5" s="9">
        <v>0.072</v>
      </c>
      <c r="F5" s="10">
        <v>35.5</v>
      </c>
      <c r="G5" s="9">
        <v>25</v>
      </c>
      <c r="H5" s="9">
        <v>30</v>
      </c>
      <c r="I5" s="9">
        <v>2.5</v>
      </c>
      <c r="J5" s="9">
        <v>8</v>
      </c>
      <c r="K5" s="9">
        <v>24</v>
      </c>
      <c r="L5" s="9">
        <v>30</v>
      </c>
      <c r="M5" s="9">
        <v>12.78</v>
      </c>
      <c r="N5" s="9">
        <v>0.1</v>
      </c>
      <c r="O5" s="10">
        <v>24.98</v>
      </c>
      <c r="P5" s="9">
        <v>25</v>
      </c>
      <c r="Q5" s="9">
        <v>32</v>
      </c>
      <c r="R5" s="9">
        <v>1000</v>
      </c>
      <c r="S5" s="11">
        <f>F5/C5</f>
        <v>0.71</v>
      </c>
      <c r="T5" s="11">
        <f>O5/L5</f>
        <v>0.8326666666666667</v>
      </c>
      <c r="U5" s="12">
        <f>T5/S5-1</f>
        <v>0.17276995305164333</v>
      </c>
      <c r="V5" s="13">
        <f>D5/C5</f>
        <v>0.33</v>
      </c>
      <c r="W5" s="13">
        <f>M5/L5</f>
        <v>0.426</v>
      </c>
      <c r="X5" s="11">
        <f>F5/D5</f>
        <v>2.1515151515151514</v>
      </c>
      <c r="Y5" s="11">
        <f>O5/M5</f>
        <v>1.9546165884194056</v>
      </c>
      <c r="Z5" s="14">
        <f>(Q5-P5)/2</f>
        <v>3.5</v>
      </c>
    </row>
    <row r="6" spans="1:26" x14ac:dyDescent="0.25">
      <c r="A6" s="9" t="s">
        <v>54</v>
      </c>
      <c r="B6" s="9" t="s">
        <v>56</v>
      </c>
      <c r="C6" s="9">
        <v>50</v>
      </c>
      <c r="D6" s="9">
        <v>21</v>
      </c>
      <c r="E6" s="9">
        <v>0.185</v>
      </c>
      <c r="F6" s="10">
        <v>45</v>
      </c>
      <c r="G6" s="9">
        <v>32</v>
      </c>
      <c r="H6" s="9">
        <v>38</v>
      </c>
      <c r="I6" s="9">
        <v>3</v>
      </c>
      <c r="J6" s="9">
        <v>8</v>
      </c>
      <c r="K6" s="9">
        <v>24</v>
      </c>
      <c r="L6" s="9">
        <v>30</v>
      </c>
      <c r="M6" s="9">
        <v>18.45</v>
      </c>
      <c r="N6" s="9">
        <v>0.15</v>
      </c>
      <c r="O6" s="10">
        <v>36.06</v>
      </c>
      <c r="P6" s="9">
        <v>32</v>
      </c>
      <c r="Q6" s="9">
        <v>40</v>
      </c>
      <c r="R6" s="9">
        <v>1000</v>
      </c>
      <c r="S6" s="11">
        <f>F6/C6</f>
        <v>0.9</v>
      </c>
      <c r="T6" s="11">
        <f>O6/L6</f>
        <v>1.2020000000000002</v>
      </c>
      <c r="U6" s="12">
        <f>T6/S6-1</f>
        <v>0.33555555555555583</v>
      </c>
      <c r="V6" s="13">
        <f>D6/C6</f>
        <v>0.42</v>
      </c>
      <c r="W6" s="13">
        <f>M6/L6</f>
        <v>0.615</v>
      </c>
      <c r="X6" s="11">
        <f>F6/D6</f>
        <v>2.142857142857143</v>
      </c>
      <c r="Y6" s="11">
        <f>O6/M6</f>
        <v>1.9544715447154473</v>
      </c>
      <c r="Z6" s="14">
        <f>(Q6-P6)/2</f>
        <v>4</v>
      </c>
    </row>
    <row r="7" spans="1:26" x14ac:dyDescent="0.25">
      <c r="A7" s="9" t="s">
        <v>54</v>
      </c>
      <c r="B7" s="9" t="s">
        <v>57</v>
      </c>
      <c r="C7" s="9">
        <v>50</v>
      </c>
      <c r="D7" s="9">
        <v>31.5</v>
      </c>
      <c r="E7" s="9">
        <v>0.195</v>
      </c>
      <c r="F7" s="10">
        <v>67.5</v>
      </c>
      <c r="G7" s="9">
        <v>38</v>
      </c>
      <c r="H7" s="9">
        <v>45</v>
      </c>
      <c r="I7" s="9">
        <v>3.5</v>
      </c>
      <c r="J7" s="9">
        <v>8</v>
      </c>
      <c r="K7" s="9">
        <v>24</v>
      </c>
      <c r="L7" s="9">
        <v>30</v>
      </c>
      <c r="M7" s="9">
        <v>21.52</v>
      </c>
      <c r="N7" s="9">
        <v>0.2</v>
      </c>
      <c r="O7" s="10">
        <v>42.07</v>
      </c>
      <c r="P7" s="9">
        <v>38</v>
      </c>
      <c r="Q7" s="9">
        <v>46</v>
      </c>
      <c r="R7" s="9">
        <v>1000</v>
      </c>
      <c r="S7" s="11">
        <f>F7/C7</f>
        <v>1.35</v>
      </c>
      <c r="T7" s="11">
        <f>O7/L7</f>
        <v>1.4023333333333334</v>
      </c>
      <c r="U7" s="12">
        <f>T7/S7-1</f>
        <v>0.03876543209876537</v>
      </c>
      <c r="V7" s="13">
        <f>D7/C7</f>
        <v>0.63</v>
      </c>
      <c r="W7" s="13">
        <f>M7/L7</f>
        <v>0.7173333333333333</v>
      </c>
      <c r="X7" s="11">
        <f>F7/D7</f>
        <v>2.142857142857143</v>
      </c>
      <c r="Y7" s="11">
        <f>O7/M7</f>
        <v>1.954925650557621</v>
      </c>
      <c r="Z7" s="14">
        <f>(Q7-P7)/2</f>
        <v>4</v>
      </c>
    </row>
    <row r="8" spans="1:26" x14ac:dyDescent="0.25">
      <c r="A8" s="9" t="s">
        <v>54</v>
      </c>
      <c r="B8" s="9" t="s">
        <v>58</v>
      </c>
      <c r="C8" s="9">
        <v>50</v>
      </c>
      <c r="D8" s="9">
        <v>47.5</v>
      </c>
      <c r="E8" s="9">
        <v>0.22</v>
      </c>
      <c r="F8" s="10">
        <v>102</v>
      </c>
      <c r="G8" s="9">
        <v>50</v>
      </c>
      <c r="H8" s="9">
        <v>58</v>
      </c>
      <c r="I8" s="9">
        <v>4</v>
      </c>
      <c r="J8" s="9">
        <v>7</v>
      </c>
      <c r="K8" s="9">
        <v>21</v>
      </c>
      <c r="L8" s="9">
        <v>30</v>
      </c>
      <c r="M8" s="9">
        <v>32</v>
      </c>
      <c r="N8" s="9">
        <v>0.3</v>
      </c>
      <c r="O8" s="10">
        <v>62.55</v>
      </c>
      <c r="P8" s="9">
        <v>51</v>
      </c>
      <c r="Q8" s="9">
        <v>60</v>
      </c>
      <c r="R8" s="9">
        <v>1000</v>
      </c>
      <c r="S8" s="11">
        <f>F8/C8</f>
        <v>2.04</v>
      </c>
      <c r="T8" s="11">
        <f>O8/L8</f>
        <v>2.085</v>
      </c>
      <c r="U8" s="12">
        <f>T8/S8-1</f>
        <v>0.022058823529411686</v>
      </c>
      <c r="V8" s="13">
        <f>D8/C8</f>
        <v>0.95</v>
      </c>
      <c r="W8" s="13">
        <f>M8/L8</f>
        <v>1.0666666666666667</v>
      </c>
      <c r="X8" s="11">
        <f>F8/D8</f>
        <v>2.1473684210526316</v>
      </c>
      <c r="Y8" s="11">
        <f>O8/M8</f>
        <v>1.9546875</v>
      </c>
      <c r="Z8" s="14">
        <f>(Q8-P8)/2</f>
        <v>4.5</v>
      </c>
    </row>
    <row r="9" spans="1:26" x14ac:dyDescent="0.25">
      <c r="A9" s="9" t="s">
        <v>54</v>
      </c>
      <c r="B9" s="9" t="s">
        <v>59</v>
      </c>
      <c r="C9" s="9">
        <v>25</v>
      </c>
      <c r="D9" s="9">
        <v>45.5</v>
      </c>
      <c r="E9" s="9">
        <v>0.432</v>
      </c>
      <c r="F9" s="10">
        <v>98</v>
      </c>
      <c r="G9" s="9">
        <v>75</v>
      </c>
      <c r="H9" s="9">
        <v>85</v>
      </c>
      <c r="I9" s="9">
        <v>5</v>
      </c>
      <c r="J9" s="9">
        <v>5</v>
      </c>
      <c r="K9" s="9">
        <v>15</v>
      </c>
      <c r="L9" s="9">
        <v>30</v>
      </c>
      <c r="M9" s="9">
        <v>51.89</v>
      </c>
      <c r="N9" s="9">
        <v>0.46</v>
      </c>
      <c r="O9" s="10">
        <v>101.43</v>
      </c>
      <c r="P9" s="9">
        <v>76</v>
      </c>
      <c r="Q9" s="9">
        <v>86</v>
      </c>
      <c r="R9" s="9">
        <v>600</v>
      </c>
      <c r="S9" s="11">
        <f>F9/C9</f>
        <v>3.92</v>
      </c>
      <c r="T9" s="11">
        <f>O9/L9</f>
        <v>3.3810000000000002</v>
      </c>
      <c r="U9" s="12">
        <f>T9/S9-1</f>
        <v>-0.13749999999999996</v>
      </c>
      <c r="V9" s="13">
        <f>D9/C9</f>
        <v>1.82</v>
      </c>
      <c r="W9" s="13">
        <f>M9/L9</f>
        <v>1.7296666666666667</v>
      </c>
      <c r="X9" s="11">
        <f>F9/D9</f>
        <v>2.1538461538461537</v>
      </c>
      <c r="Y9" s="11">
        <f>O9/M9</f>
        <v>1.954711890537676</v>
      </c>
      <c r="Z9" s="14">
        <f>(Q9-P9)/2</f>
        <v>5</v>
      </c>
    </row>
    <row r="10" spans="1:26" x14ac:dyDescent="0.25">
      <c r="A10" s="9" t="s">
        <v>54</v>
      </c>
      <c r="B10" s="9" t="s">
        <v>60</v>
      </c>
      <c r="C10" s="9">
        <v>25</v>
      </c>
      <c r="D10" s="9">
        <v>78.75</v>
      </c>
      <c r="E10" s="9">
        <v>1.6</v>
      </c>
      <c r="F10" s="10">
        <v>169</v>
      </c>
      <c r="G10" s="9">
        <v>100</v>
      </c>
      <c r="H10" s="9">
        <v>112</v>
      </c>
      <c r="I10" s="9">
        <v>6</v>
      </c>
      <c r="J10" s="9">
        <v>5</v>
      </c>
      <c r="K10" s="9">
        <v>15</v>
      </c>
      <c r="L10" s="9">
        <v>30</v>
      </c>
      <c r="M10" s="9">
        <v>97.75</v>
      </c>
      <c r="N10" s="9">
        <v>1.04</v>
      </c>
      <c r="O10" s="10">
        <v>191.09</v>
      </c>
      <c r="P10" s="9">
        <v>102</v>
      </c>
      <c r="Q10" s="9">
        <v>116</v>
      </c>
      <c r="R10" s="9">
        <v>600</v>
      </c>
      <c r="S10" s="11">
        <f>F10/C10</f>
        <v>6.76</v>
      </c>
      <c r="T10" s="11">
        <f>O10/L10</f>
        <v>6.369666666666666</v>
      </c>
      <c r="U10" s="12">
        <f>T10/S10-1</f>
        <v>-0.057741617357002006</v>
      </c>
      <c r="V10" s="13">
        <f>D10/C10</f>
        <v>3.15</v>
      </c>
      <c r="W10" s="13">
        <f>M10/L10</f>
        <v>3.2583333333333333</v>
      </c>
      <c r="X10" s="11">
        <f>F10/D10</f>
        <v>2.146031746031746</v>
      </c>
      <c r="Y10" s="11">
        <f>O10/M10</f>
        <v>1.9548849104859336</v>
      </c>
      <c r="Z10" s="14">
        <f>(Q10-P10)/2</f>
        <v>7</v>
      </c>
    </row>
    <row r="11" spans="1:26" x14ac:dyDescent="0.25">
      <c r="A11" s="9" t="s">
        <v>61</v>
      </c>
      <c r="B11" s="9" t="s">
        <v>62</v>
      </c>
      <c r="C11" s="9">
        <v>100</v>
      </c>
      <c r="D11" s="9">
        <v>12</v>
      </c>
      <c r="E11" s="9">
        <v>0.038</v>
      </c>
      <c r="F11" s="10">
        <v>18</v>
      </c>
      <c r="G11" s="9">
        <v>12</v>
      </c>
      <c r="H11" s="9">
        <v>16</v>
      </c>
      <c r="I11" s="9">
        <v>2</v>
      </c>
      <c r="J11" s="9">
        <v>8</v>
      </c>
      <c r="K11" s="9">
        <v>15</v>
      </c>
      <c r="L11" s="9">
        <v>50</v>
      </c>
      <c r="M11" s="9">
        <v>7.8</v>
      </c>
      <c r="N11" s="9">
        <v>0.058</v>
      </c>
      <c r="O11" s="10">
        <v>17.59</v>
      </c>
      <c r="P11" s="9">
        <v>12</v>
      </c>
      <c r="Q11" s="9">
        <v>17</v>
      </c>
      <c r="R11" s="9">
        <v>3000</v>
      </c>
      <c r="S11" s="11">
        <f>F11/C11</f>
        <v>0.18</v>
      </c>
      <c r="T11" s="11">
        <f>O11/L11</f>
        <v>0.3518</v>
      </c>
      <c r="U11" s="12">
        <f>T11/S11-1</f>
        <v>0.9544444444444444</v>
      </c>
      <c r="V11" s="13">
        <f>D11/C11</f>
        <v>0.12</v>
      </c>
      <c r="W11" s="13">
        <f>M11/L11</f>
        <v>0.156</v>
      </c>
      <c r="X11" s="11">
        <f>F11/D11</f>
        <v>1.5</v>
      </c>
      <c r="Y11" s="11">
        <f>O11/M11</f>
        <v>2.255128205128205</v>
      </c>
      <c r="Z11" s="14">
        <f>(Q11-P11)/2</f>
        <v>2.5</v>
      </c>
    </row>
    <row r="12" spans="1:26" x14ac:dyDescent="0.25">
      <c r="A12" s="9" t="s">
        <v>61</v>
      </c>
      <c r="B12" s="9" t="s">
        <v>63</v>
      </c>
      <c r="C12" s="9">
        <v>100</v>
      </c>
      <c r="D12" s="9">
        <v>22.8</v>
      </c>
      <c r="E12" s="9">
        <v>0.05</v>
      </c>
      <c r="F12" s="10">
        <v>34.5</v>
      </c>
      <c r="G12" s="9">
        <v>19</v>
      </c>
      <c r="H12" s="9">
        <v>24</v>
      </c>
      <c r="I12" s="9">
        <v>2.5</v>
      </c>
      <c r="J12" s="9">
        <v>5</v>
      </c>
      <c r="K12" s="9">
        <v>15</v>
      </c>
      <c r="L12" s="9">
        <v>50</v>
      </c>
      <c r="M12" s="9">
        <v>11.56</v>
      </c>
      <c r="N12" s="9">
        <v>0.068</v>
      </c>
      <c r="O12" s="10">
        <v>26.08</v>
      </c>
      <c r="P12" s="9">
        <v>19</v>
      </c>
      <c r="Q12" s="9">
        <v>24</v>
      </c>
      <c r="R12" s="9">
        <v>2000</v>
      </c>
      <c r="S12" s="11">
        <f>F12/C12</f>
        <v>0.345</v>
      </c>
      <c r="T12" s="11">
        <f>O12/L12</f>
        <v>0.5216</v>
      </c>
      <c r="U12" s="12">
        <f>T12/S12-1</f>
        <v>0.5118840579710144</v>
      </c>
      <c r="V12" s="13">
        <f>D12/C12</f>
        <v>0.228</v>
      </c>
      <c r="W12" s="13">
        <f>M12/L12</f>
        <v>0.23120000000000002</v>
      </c>
      <c r="X12" s="11">
        <f>F12/D12</f>
        <v>1.513157894736842</v>
      </c>
      <c r="Y12" s="11">
        <f>O12/M12</f>
        <v>2.2560553633217992</v>
      </c>
      <c r="Z12" s="14">
        <f>(Q12-P12)/2</f>
        <v>2.5</v>
      </c>
    </row>
    <row r="13" spans="1:26" x14ac:dyDescent="0.25">
      <c r="A13" s="9" t="s">
        <v>61</v>
      </c>
      <c r="B13" s="9" t="s">
        <v>55</v>
      </c>
      <c r="C13" s="9">
        <v>50</v>
      </c>
      <c r="D13" s="9">
        <v>17.8</v>
      </c>
      <c r="E13" s="9">
        <v>0.072</v>
      </c>
      <c r="F13" s="10">
        <v>27</v>
      </c>
      <c r="G13" s="9">
        <v>25</v>
      </c>
      <c r="H13" s="9">
        <v>31</v>
      </c>
      <c r="I13" s="9">
        <v>3</v>
      </c>
      <c r="J13" s="9">
        <v>4</v>
      </c>
      <c r="K13" s="9">
        <v>12</v>
      </c>
      <c r="L13" s="9">
        <v>50</v>
      </c>
      <c r="M13" s="9">
        <v>18.07</v>
      </c>
      <c r="N13" s="9">
        <v>0.096</v>
      </c>
      <c r="O13" s="10">
        <v>40.75</v>
      </c>
      <c r="P13" s="9">
        <v>25</v>
      </c>
      <c r="Q13" s="9">
        <v>31</v>
      </c>
      <c r="R13" s="9">
        <v>2000</v>
      </c>
      <c r="S13" s="11">
        <f>F13/C13</f>
        <v>0.54</v>
      </c>
      <c r="T13" s="11">
        <f>O13/L13</f>
        <v>0.815</v>
      </c>
      <c r="U13" s="12">
        <f>T13/S13-1</f>
        <v>0.5092592592592591</v>
      </c>
      <c r="V13" s="13">
        <f>D13/C13</f>
        <v>0.35600000000000004</v>
      </c>
      <c r="W13" s="13">
        <f>M13/L13</f>
        <v>0.3614</v>
      </c>
      <c r="X13" s="11">
        <f>F13/D13</f>
        <v>1.5168539325842696</v>
      </c>
      <c r="Y13" s="11">
        <f>O13/M13</f>
        <v>2.2551189817376867</v>
      </c>
      <c r="Z13" s="14">
        <f>(Q13-P13)/2</f>
        <v>3</v>
      </c>
    </row>
    <row r="15" spans="1:1" s="15" customFormat="1" x14ac:dyDescent="0.25">
      <c r="A15" s="15" t="s">
        <v>64</v>
      </c>
    </row>
  </sheetData>
  <conditionalFormatting sqref="U5:U13">
    <cfRule type="cellIs" dxfId="0" priority="1" operator="greaterThan">
      <formula>0.15</formula>
    </cfRule>
    <cfRule type="cellIs" dxfId="1" priority="2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cols>
    <col min="1" max="3" width="10" customWidth="1"/>
    <col min="4" max="5" width="14" customWidth="1"/>
    <col min="6" max="6" width="16" customWidth="1"/>
    <col min="7" max="8" width="10" customWidth="1"/>
  </cols>
  <sheetData>
    <row r="1" spans="1:1" s="1" customFormat="1" x14ac:dyDescent="0.25">
      <c r="A1" s="1" t="s">
        <v>65</v>
      </c>
    </row>
    <row r="2" spans="1:1" s="2" customFormat="1" x14ac:dyDescent="0.25">
      <c r="A2" s="2" t="s">
        <v>66</v>
      </c>
    </row>
    <row r="4" ht="34" customHeight="1" spans="1:8" x14ac:dyDescent="0.25">
      <c r="A4" s="8" t="s">
        <v>28</v>
      </c>
      <c r="B4" s="8" t="s">
        <v>29</v>
      </c>
      <c r="C4" s="8" t="s">
        <v>67</v>
      </c>
      <c r="D4" s="8" t="s">
        <v>68</v>
      </c>
      <c r="E4" s="8" t="s">
        <v>69</v>
      </c>
      <c r="F4" s="8" t="s">
        <v>70</v>
      </c>
      <c r="G4" s="8" t="s">
        <v>71</v>
      </c>
      <c r="H4" s="8" t="s">
        <v>72</v>
      </c>
    </row>
    <row r="5" spans="1:8" x14ac:dyDescent="0.25">
      <c r="A5" s="16" t="s">
        <v>54</v>
      </c>
      <c r="B5" s="16" t="s">
        <v>55</v>
      </c>
      <c r="C5" s="16">
        <v>300</v>
      </c>
      <c r="D5" s="17">
        <f>C5*'Comparación'!S5</f>
        <v>213</v>
      </c>
      <c r="E5" s="17">
        <f>C5*'Comparación'!T5</f>
        <v>249.8</v>
      </c>
      <c r="F5" s="17">
        <f>E5-D5</f>
        <v>36.80000000000001</v>
      </c>
      <c r="G5" s="18">
        <f>C5*'Comparación'!E5/'Comparación'!C5</f>
        <v>0.43199999999999994</v>
      </c>
      <c r="H5" s="18">
        <f>C5*'Comparación'!N5/'Comparación'!L5</f>
        <v>1</v>
      </c>
    </row>
    <row r="6" spans="1:8" x14ac:dyDescent="0.25">
      <c r="A6" s="16" t="s">
        <v>54</v>
      </c>
      <c r="B6" s="16" t="s">
        <v>56</v>
      </c>
      <c r="C6" s="16">
        <v>200</v>
      </c>
      <c r="D6" s="17">
        <f>C6*'Comparación'!S6</f>
        <v>180</v>
      </c>
      <c r="E6" s="17">
        <f>C6*'Comparación'!T6</f>
        <v>240.4</v>
      </c>
      <c r="F6" s="17">
        <f>E6-D6</f>
        <v>60.400000000000006</v>
      </c>
      <c r="G6" s="18">
        <f>C6*'Comparación'!E6/'Comparación'!C6</f>
        <v>0.74</v>
      </c>
      <c r="H6" s="18">
        <f>C6*'Comparación'!N6/'Comparación'!L6</f>
        <v>1</v>
      </c>
    </row>
    <row r="7" spans="1:8" x14ac:dyDescent="0.25">
      <c r="A7" s="16" t="s">
        <v>54</v>
      </c>
      <c r="B7" s="16" t="s">
        <v>57</v>
      </c>
      <c r="C7" s="16">
        <v>600</v>
      </c>
      <c r="D7" s="17">
        <f>C7*'Comparación'!S7</f>
        <v>810</v>
      </c>
      <c r="E7" s="17">
        <f>C7*'Comparación'!T7</f>
        <v>841.4</v>
      </c>
      <c r="F7" s="17">
        <f>E7-D7</f>
        <v>31.399999999999977</v>
      </c>
      <c r="G7" s="18">
        <f>C7*'Comparación'!E7/'Comparación'!C7</f>
        <v>2.34</v>
      </c>
      <c r="H7" s="18">
        <f>C7*'Comparación'!N7/'Comparación'!L7</f>
        <v>4</v>
      </c>
    </row>
    <row r="8" spans="1:8" x14ac:dyDescent="0.25">
      <c r="A8" s="16" t="s">
        <v>54</v>
      </c>
      <c r="B8" s="16" t="s">
        <v>58</v>
      </c>
      <c r="C8" s="16">
        <v>1500</v>
      </c>
      <c r="D8" s="17">
        <f>C8*'Comparación'!S8</f>
        <v>3060</v>
      </c>
      <c r="E8" s="17">
        <f>C8*'Comparación'!T8</f>
        <v>3127.5</v>
      </c>
      <c r="F8" s="17">
        <f>E8-D8</f>
        <v>67.5</v>
      </c>
      <c r="G8" s="18">
        <f>C8*'Comparación'!E8/'Comparación'!C8</f>
        <v>6.6</v>
      </c>
      <c r="H8" s="18">
        <f>C8*'Comparación'!N8/'Comparación'!L8</f>
        <v>15</v>
      </c>
    </row>
    <row r="9" spans="1:8" x14ac:dyDescent="0.25">
      <c r="A9" s="16" t="s">
        <v>54</v>
      </c>
      <c r="B9" s="16" t="s">
        <v>59</v>
      </c>
      <c r="C9" s="16">
        <v>1000</v>
      </c>
      <c r="D9" s="17">
        <f>C9*'Comparación'!S9</f>
        <v>3920</v>
      </c>
      <c r="E9" s="17">
        <f>C9*'Comparación'!T9</f>
        <v>3381</v>
      </c>
      <c r="F9" s="17">
        <f>E9-D9</f>
        <v>-539</v>
      </c>
      <c r="G9" s="18">
        <f>C9*'Comparación'!E9/'Comparación'!C9</f>
        <v>17.28</v>
      </c>
      <c r="H9" s="18">
        <f>C9*'Comparación'!N9/'Comparación'!L9</f>
        <v>15.333333333333334</v>
      </c>
    </row>
    <row r="10" spans="1:8" x14ac:dyDescent="0.25">
      <c r="A10" s="16" t="s">
        <v>54</v>
      </c>
      <c r="B10" s="16" t="s">
        <v>60</v>
      </c>
      <c r="C10" s="16">
        <v>425</v>
      </c>
      <c r="D10" s="17">
        <f>C10*'Comparación'!S10</f>
        <v>2873</v>
      </c>
      <c r="E10" s="17">
        <f>C10*'Comparación'!T10</f>
        <v>2707.108333333333</v>
      </c>
      <c r="F10" s="17">
        <f>E10-D10</f>
        <v>-165.89166666666688</v>
      </c>
      <c r="G10" s="18">
        <f>C10*'Comparación'!E10/'Comparación'!C10</f>
        <v>27.2</v>
      </c>
      <c r="H10" s="18">
        <f>C10*'Comparación'!N10/'Comparación'!L10</f>
        <v>14.733333333333333</v>
      </c>
    </row>
    <row r="11" spans="1:8" x14ac:dyDescent="0.25">
      <c r="A11" s="16" t="s">
        <v>61</v>
      </c>
      <c r="B11" s="16" t="s">
        <v>62</v>
      </c>
      <c r="C11" s="16">
        <v>8000</v>
      </c>
      <c r="D11" s="17">
        <f>C11*'Comparación'!S11</f>
        <v>1440</v>
      </c>
      <c r="E11" s="17">
        <f>C11*'Comparación'!T11</f>
        <v>2814.4</v>
      </c>
      <c r="F11" s="17">
        <f>E11-D11</f>
        <v>1374.4</v>
      </c>
      <c r="G11" s="18">
        <f>C11*'Comparación'!E11/'Comparación'!C11</f>
        <v>3.04</v>
      </c>
      <c r="H11" s="18">
        <f>C11*'Comparación'!N11/'Comparación'!L11</f>
        <v>9.28</v>
      </c>
    </row>
    <row r="12" spans="1:8" x14ac:dyDescent="0.25">
      <c r="A12" s="16" t="s">
        <v>61</v>
      </c>
      <c r="B12" s="16" t="s">
        <v>63</v>
      </c>
      <c r="C12" s="16">
        <v>20000</v>
      </c>
      <c r="D12" s="17">
        <f>C12*'Comparación'!S12</f>
        <v>6900</v>
      </c>
      <c r="E12" s="17">
        <f>C12*'Comparación'!T12</f>
        <v>10431.999999999998</v>
      </c>
      <c r="F12" s="17">
        <f>E12-D12</f>
        <v>3531.999999999998</v>
      </c>
      <c r="G12" s="18">
        <f>C12*'Comparación'!E12/'Comparación'!C12</f>
        <v>10</v>
      </c>
      <c r="H12" s="18">
        <f>C12*'Comparación'!N12/'Comparación'!L12</f>
        <v>27.2</v>
      </c>
    </row>
    <row r="13" spans="1:8" x14ac:dyDescent="0.25">
      <c r="A13" s="16" t="s">
        <v>61</v>
      </c>
      <c r="B13" s="16" t="s">
        <v>55</v>
      </c>
      <c r="C13" s="16">
        <v>3000</v>
      </c>
      <c r="D13" s="17">
        <f>C13*'Comparación'!S13</f>
        <v>1620</v>
      </c>
      <c r="E13" s="17">
        <f>C13*'Comparación'!T13</f>
        <v>2445</v>
      </c>
      <c r="F13" s="17">
        <f>E13-D13</f>
        <v>825</v>
      </c>
      <c r="G13" s="18">
        <f>C13*'Comparación'!E13/'Comparación'!C13</f>
        <v>4.319999999999999</v>
      </c>
      <c r="H13" s="18">
        <f>C13*'Comparación'!N13/'Comparación'!L13</f>
        <v>5.76</v>
      </c>
    </row>
    <row r="14" spans="1:8" x14ac:dyDescent="0.25">
      <c r="A14" s="19" t="s">
        <v>73</v>
      </c>
      <c r="B14" s="19" t="s">
        <v>8</v>
      </c>
      <c r="C14" s="19">
        <f>SUM(C5:C13)</f>
        <v>35025</v>
      </c>
      <c r="D14" s="20">
        <f>SUM(D5:D13)</f>
        <v>21016</v>
      </c>
      <c r="E14" s="20">
        <f>SUM(E5:E13)</f>
        <v>26238.60833333333</v>
      </c>
      <c r="F14" s="20">
        <f>E14-D14</f>
        <v>5222.60833333333</v>
      </c>
      <c r="G14" s="21">
        <f>SUM(G5:G13)</f>
        <v>71.952</v>
      </c>
      <c r="H14" s="21">
        <f>SUM(H5:H13)</f>
        <v>93.30666666666667</v>
      </c>
    </row>
    <row r="16" spans="1:1" s="15" customFormat="1" x14ac:dyDescent="0.25">
      <c r="A16" s="15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5" customWidth="1"/>
    <col min="2" max="2" width="60" customWidth="1"/>
    <col min="3" max="3" width="50" customWidth="1"/>
    <col min="4" max="4" width="12" customWidth="1"/>
  </cols>
  <sheetData>
    <row r="1" spans="1:1" s="1" customFormat="1" x14ac:dyDescent="0.25">
      <c r="A1" s="1" t="s">
        <v>75</v>
      </c>
    </row>
    <row r="2" spans="1:1" s="2" customFormat="1" x14ac:dyDescent="0.25">
      <c r="A2" s="2" t="s">
        <v>76</v>
      </c>
    </row>
    <row r="4" ht="34" customHeight="1" spans="1:4" x14ac:dyDescent="0.25">
      <c r="A4" s="8" t="s">
        <v>77</v>
      </c>
      <c r="B4" s="8" t="s">
        <v>78</v>
      </c>
      <c r="C4" s="8" t="s">
        <v>79</v>
      </c>
      <c r="D4" s="8" t="s">
        <v>80</v>
      </c>
    </row>
    <row r="5" spans="1:4" x14ac:dyDescent="0.25">
      <c r="A5" s="22">
        <v>1</v>
      </c>
      <c r="B5" s="22" t="s">
        <v>81</v>
      </c>
      <c r="C5" s="22" t="s">
        <v>82</v>
      </c>
      <c r="D5" s="23" t="s">
        <v>83</v>
      </c>
    </row>
    <row r="6" spans="1:4" x14ac:dyDescent="0.25">
      <c r="A6" s="22">
        <v>2</v>
      </c>
      <c r="B6" s="22" t="s">
        <v>84</v>
      </c>
      <c r="C6" s="22" t="s">
        <v>85</v>
      </c>
      <c r="D6" s="23" t="s">
        <v>83</v>
      </c>
    </row>
    <row r="7" spans="1:4" x14ac:dyDescent="0.25">
      <c r="A7" s="22">
        <v>3</v>
      </c>
      <c r="B7" s="22" t="s">
        <v>86</v>
      </c>
      <c r="C7" s="22" t="s">
        <v>87</v>
      </c>
      <c r="D7" s="23" t="s">
        <v>83</v>
      </c>
    </row>
    <row r="8" spans="1:4" x14ac:dyDescent="0.25">
      <c r="A8" s="22">
        <v>4</v>
      </c>
      <c r="B8" s="22" t="s">
        <v>88</v>
      </c>
      <c r="C8" s="22" t="s">
        <v>89</v>
      </c>
      <c r="D8" s="23" t="s">
        <v>83</v>
      </c>
    </row>
    <row r="9" spans="1:4" x14ac:dyDescent="0.25">
      <c r="A9" s="22">
        <v>5</v>
      </c>
      <c r="B9" s="22" t="s">
        <v>90</v>
      </c>
      <c r="C9" s="22" t="s">
        <v>91</v>
      </c>
      <c r="D9" s="23" t="s">
        <v>83</v>
      </c>
    </row>
    <row r="10" spans="1:4" x14ac:dyDescent="0.25">
      <c r="A10" s="22">
        <v>6</v>
      </c>
      <c r="B10" s="22" t="s">
        <v>92</v>
      </c>
      <c r="C10" s="22" t="s">
        <v>93</v>
      </c>
      <c r="D10" s="23" t="s">
        <v>83</v>
      </c>
    </row>
    <row r="11" spans="1:4" x14ac:dyDescent="0.25">
      <c r="A11" s="22">
        <v>7</v>
      </c>
      <c r="B11" s="22" t="s">
        <v>94</v>
      </c>
      <c r="C11" s="22" t="s">
        <v>95</v>
      </c>
      <c r="D11" s="23" t="s">
        <v>83</v>
      </c>
    </row>
    <row r="12" spans="1:4" x14ac:dyDescent="0.25">
      <c r="A12" s="22">
        <v>8</v>
      </c>
      <c r="B12" s="22" t="s">
        <v>96</v>
      </c>
      <c r="C12" s="22" t="s">
        <v>97</v>
      </c>
      <c r="D12" s="23" t="s">
        <v>83</v>
      </c>
    </row>
    <row r="13" spans="1:4" x14ac:dyDescent="0.25">
      <c r="A13" s="22">
        <v>9</v>
      </c>
      <c r="B13" s="22" t="s">
        <v>98</v>
      </c>
      <c r="C13" s="22" t="s">
        <v>99</v>
      </c>
      <c r="D13" s="23" t="s">
        <v>83</v>
      </c>
    </row>
    <row r="14" spans="1:4" x14ac:dyDescent="0.25">
      <c r="A14" s="22">
        <v>10</v>
      </c>
      <c r="B14" s="22" t="s">
        <v>100</v>
      </c>
      <c r="C14" s="22" t="s">
        <v>101</v>
      </c>
      <c r="D14" s="23" t="s">
        <v>83</v>
      </c>
    </row>
    <row r="15" spans="1:4" x14ac:dyDescent="0.25">
      <c r="A15" s="22">
        <v>11</v>
      </c>
      <c r="B15" s="22" t="s">
        <v>102</v>
      </c>
      <c r="C15" s="22" t="s">
        <v>103</v>
      </c>
      <c r="D15" s="23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32" customWidth="1"/>
    <col min="2" max="2" width="70" customWidth="1"/>
    <col min="3" max="3" width="30" customWidth="1"/>
  </cols>
  <sheetData>
    <row r="1" spans="1:1" s="1" customFormat="1" x14ac:dyDescent="0.25">
      <c r="A1" s="1" t="s">
        <v>104</v>
      </c>
    </row>
    <row r="2" spans="1:1" s="2" customFormat="1" x14ac:dyDescent="0.25">
      <c r="A2" s="2" t="s">
        <v>105</v>
      </c>
    </row>
    <row r="4" ht="34" customHeight="1" spans="1:3" x14ac:dyDescent="0.25">
      <c r="A4" s="8" t="s">
        <v>106</v>
      </c>
      <c r="B4" s="8" t="s">
        <v>107</v>
      </c>
      <c r="C4" s="8" t="s">
        <v>108</v>
      </c>
    </row>
    <row r="5" spans="1:3" x14ac:dyDescent="0.25">
      <c r="A5" s="22" t="s">
        <v>109</v>
      </c>
      <c r="B5" s="22" t="s">
        <v>110</v>
      </c>
      <c r="C5" s="22" t="s">
        <v>111</v>
      </c>
    </row>
    <row r="6" spans="1:3" x14ac:dyDescent="0.25">
      <c r="A6" s="22" t="s">
        <v>112</v>
      </c>
      <c r="B6" s="22" t="s">
        <v>113</v>
      </c>
      <c r="C6" s="22" t="s">
        <v>83</v>
      </c>
    </row>
    <row r="7" spans="1:3" x14ac:dyDescent="0.25">
      <c r="A7" s="22" t="s">
        <v>114</v>
      </c>
      <c r="B7" s="22" t="s">
        <v>115</v>
      </c>
      <c r="C7" s="22" t="s">
        <v>116</v>
      </c>
    </row>
    <row r="8" spans="1:3" x14ac:dyDescent="0.25">
      <c r="A8" s="22" t="s">
        <v>117</v>
      </c>
      <c r="B8" s="22" t="s">
        <v>118</v>
      </c>
      <c r="C8" s="22" t="s">
        <v>119</v>
      </c>
    </row>
    <row r="9" spans="1:3" x14ac:dyDescent="0.25">
      <c r="A9" s="22" t="s">
        <v>120</v>
      </c>
      <c r="B9" s="22" t="s">
        <v>121</v>
      </c>
      <c r="C9" s="22" t="s">
        <v>83</v>
      </c>
    </row>
    <row r="10" spans="1:3" x14ac:dyDescent="0.25">
      <c r="A10" s="22" t="s">
        <v>122</v>
      </c>
      <c r="B10" s="22" t="s">
        <v>123</v>
      </c>
      <c r="C10" s="22" t="s">
        <v>83</v>
      </c>
    </row>
    <row r="12" spans="1:1" s="3" customFormat="1" x14ac:dyDescent="0.25">
      <c r="A12" s="3" t="s">
        <v>124</v>
      </c>
    </row>
    <row r="13" spans="1:1" x14ac:dyDescent="0.25">
      <c r="A13" s="24" t="s">
        <v>125</v>
      </c>
    </row>
    <row r="14" spans="1:1" x14ac:dyDescent="0.25">
      <c r="A14" s="24" t="s">
        <v>126</v>
      </c>
    </row>
    <row r="15" spans="1:1" x14ac:dyDescent="0.25">
      <c r="A15" s="24" t="s">
        <v>127</v>
      </c>
    </row>
    <row r="16" spans="1:1" x14ac:dyDescent="0.25">
      <c r="A16" s="24" t="s">
        <v>128</v>
      </c>
    </row>
  </sheetData>
  <hyperlinks>
    <hyperlink ref="A13" r:id="rId1"/>
    <hyperlink ref="A14" r:id="rId2"/>
    <hyperlink ref="A15" r:id="rId3"/>
    <hyperlink ref="A16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</vt:lpstr>
      <vt:lpstr>Comparación</vt:lpstr>
      <vt:lpstr>Pedido tipo</vt:lpstr>
      <vt:lpstr>Pedir a Xiandai</vt:lpstr>
      <vt:lpstr>Costos importación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Denver</dc:creator>
  <dc:title/>
  <dc:subject/>
  <dc:description/>
  <cp:keywords/>
  <cp:category/>
  <cp:lastModifiedBy>Unknown</cp:lastModifiedBy>
  <dcterms:created xsi:type="dcterms:W3CDTF">2026-09-16T17:05:18Z</dcterms:created>
  <dcterms:modified xsi:type="dcterms:W3CDTF">2026-09-16T17:05:18Z</dcterms:modified>
</cp:coreProperties>
</file>